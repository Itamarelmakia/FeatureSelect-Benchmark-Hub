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Phd\FSResearchProject\src\configs\"/>
    </mc:Choice>
  </mc:AlternateContent>
  <xr:revisionPtr revIDLastSave="0" documentId="13_ncr:1_{A276D425-83D0-476A-A4FA-98F56FD8D328}" xr6:coauthVersionLast="47" xr6:coauthVersionMax="47" xr10:uidLastSave="{00000000-0000-0000-0000-000000000000}"/>
  <bookViews>
    <workbookView xWindow="-24000" yWindow="2010" windowWidth="21600" windowHeight="11385" xr2:uid="{00000000-000D-0000-FFFF-FFFF00000000}"/>
  </bookViews>
  <sheets>
    <sheet name="Skewness" sheetId="25" r:id="rId1"/>
    <sheet name="CFS" sheetId="22" r:id="rId2"/>
    <sheet name="MCFS" sheetId="2" r:id="rId3"/>
    <sheet name="RFS" sheetId="3" r:id="rId4"/>
    <sheet name="ReliefF" sheetId="15" r:id="rId5"/>
    <sheet name="GRAPH" sheetId="21" r:id="rId6"/>
    <sheet name="low_variance" sheetId="12" r:id="rId7"/>
    <sheet name="LS" sheetId="4" r:id="rId8"/>
    <sheet name="SVM_RBF" sheetId="26" r:id="rId9"/>
    <sheet name="CEI_GA" sheetId="28" r:id="rId10"/>
    <sheet name="SVM_Forward" sheetId="18" r:id="rId11"/>
    <sheet name="SHAP" sheetId="27" r:id="rId12"/>
    <sheet name="SVM_Backward" sheetId="20" r:id="rId13"/>
    <sheet name="DecisionTree_Backward" sheetId="19" r:id="rId14"/>
    <sheet name="DecisionTree_Forward" sheetId="17" r:id="rId15"/>
    <sheet name="AdaBoost" sheetId="5" r:id="rId16"/>
    <sheet name="ETree" sheetId="6" r:id="rId17"/>
    <sheet name="CT" sheetId="7" r:id="rId18"/>
    <sheet name="CAE" sheetId="23" r:id="rId19"/>
    <sheet name="DLFS" sheetId="8" r:id="rId20"/>
    <sheet name="UFS" sheetId="9" r:id="rId21"/>
    <sheet name="SVC" sheetId="10" r:id="rId22"/>
    <sheet name="Univariate" sheetId="11" r:id="rId23"/>
    <sheet name="alpha_investing" sheetId="16" r:id="rId24"/>
    <sheet name="mRMR" sheetId="14" r:id="rId25"/>
    <sheet name="GRACES" sheetId="13" r:id="rId26"/>
    <sheet name="LASSO_Stability" sheetId="29" r:id="rId31"/>
  </sheets>
  <definedNames>
    <definedName name="_xlnm._FilterDatabase" localSheetId="15" hidden="1">AdaBoost!$A$1:$E$2</definedName>
    <definedName name="_xlnm._FilterDatabase" localSheetId="18" hidden="1">CAE!$A$1:$I$2</definedName>
    <definedName name="_xlnm._FilterDatabase" localSheetId="9" hidden="1">CEI_GA!$A$1:$K$2</definedName>
    <definedName name="_xlnm._FilterDatabase" localSheetId="13" hidden="1">DecisionTree_Backward!$A$1:$E$2</definedName>
    <definedName name="_xlnm._FilterDatabase" localSheetId="14" hidden="1">DecisionTree_Forward!$A$1:$E$2</definedName>
    <definedName name="_xlnm._FilterDatabase" localSheetId="19" hidden="1">DLFS!$A$1:$K$2</definedName>
    <definedName name="_xlnm._FilterDatabase" localSheetId="16" hidden="1">ETree!$A$1:$D$2</definedName>
    <definedName name="_xlnm._FilterDatabase" localSheetId="25" hidden="1">GRACES!$A$1:$K$2</definedName>
    <definedName name="_xlnm._FilterDatabase" localSheetId="5" hidden="1">GRAPH!$A$1:$F$2</definedName>
    <definedName name="_xlnm._FilterDatabase" localSheetId="11" hidden="1">SHAP!$A$1:$I$2</definedName>
    <definedName name="_xlnm._FilterDatabase" localSheetId="12" hidden="1">SVM_Backward!$A$1:$J$2</definedName>
    <definedName name="_xlnm._FilterDatabase" localSheetId="10" hidden="1">SVM_Forward!$A$1:$J$2</definedName>
    <definedName name="_xlnm._FilterDatabase" localSheetId="8" hidden="1">SVM_RBF!$A$1:$H$2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8" l="1"/>
  <c r="E2" i="27"/>
  <c r="D2" i="26"/>
  <c r="C2" i="25"/>
  <c r="I2" i="23"/>
  <c r="H2" i="2"/>
  <c r="C2" i="22" l="1"/>
  <c r="G2" i="21"/>
  <c r="F2" i="20"/>
  <c r="J2" i="19"/>
  <c r="J2" i="17"/>
  <c r="F2" i="18"/>
  <c r="E2" i="5" l="1"/>
  <c r="D2" i="6"/>
  <c r="D2" i="3"/>
  <c r="F2" i="10"/>
  <c r="K2" i="13" l="1"/>
  <c r="D2" i="16"/>
  <c r="C2" i="15"/>
  <c r="G2" i="14"/>
  <c r="C2" i="12"/>
  <c r="C2" i="11"/>
  <c r="F2" i="9"/>
  <c r="K2" i="8"/>
  <c r="C2" i="7"/>
  <c r="H2" i="4"/>
</calcChain>
</file>

<file path=xl/sharedStrings.xml><?xml version="1.0" encoding="utf-8"?>
<sst xmlns="http://schemas.openxmlformats.org/spreadsheetml/2006/main" count="182" uniqueCount="87">
  <si>
    <t>WIF</t>
  </si>
  <si>
    <t>t</t>
  </si>
  <si>
    <t>comment</t>
  </si>
  <si>
    <t>gamma</t>
  </si>
  <si>
    <t>metric</t>
  </si>
  <si>
    <t>neighbor_mode</t>
  </si>
  <si>
    <t>weight_mode</t>
  </si>
  <si>
    <t>k</t>
  </si>
  <si>
    <t>fisher_score</t>
  </si>
  <si>
    <t>relieF</t>
  </si>
  <si>
    <t>knn</t>
  </si>
  <si>
    <t>heat_kernel</t>
  </si>
  <si>
    <t>unique_labels</t>
  </si>
  <si>
    <t>n_estimators</t>
  </si>
  <si>
    <t>learning_rate</t>
  </si>
  <si>
    <t>max_depth</t>
  </si>
  <si>
    <t>data_batch_size</t>
  </si>
  <si>
    <t>mask_batch_size</t>
  </si>
  <si>
    <t>s</t>
  </si>
  <si>
    <t>s_p</t>
  </si>
  <si>
    <t>phase_2_start</t>
  </si>
  <si>
    <t>max_batches</t>
  </si>
  <si>
    <t>early_stopping_patience</t>
  </si>
  <si>
    <t>activation</t>
  </si>
  <si>
    <t>loss function</t>
  </si>
  <si>
    <t>softmax</t>
  </si>
  <si>
    <t>categorical_crossentropy</t>
  </si>
  <si>
    <t>epochs_number</t>
  </si>
  <si>
    <t>batch_size_value</t>
  </si>
  <si>
    <t>loss_weight_1</t>
  </si>
  <si>
    <t>p_learning_rate</t>
  </si>
  <si>
    <t>C</t>
  </si>
  <si>
    <t>penalty</t>
  </si>
  <si>
    <t>l2</t>
  </si>
  <si>
    <t>score_func</t>
  </si>
  <si>
    <t>chi2</t>
  </si>
  <si>
    <t>dropout_prob</t>
  </si>
  <si>
    <t>alpha</t>
  </si>
  <si>
    <t>w0</t>
  </si>
  <si>
    <t>dw</t>
  </si>
  <si>
    <t>q</t>
  </si>
  <si>
    <t>batch_size</t>
  </si>
  <si>
    <t>sigma</t>
  </si>
  <si>
    <t>f_correct</t>
  </si>
  <si>
    <t>n_dropouts</t>
  </si>
  <si>
    <t>n_neighbors</t>
  </si>
  <si>
    <t>dual</t>
  </si>
  <si>
    <t>loss</t>
  </si>
  <si>
    <t>hinge</t>
  </si>
  <si>
    <t>max_iter</t>
  </si>
  <si>
    <t>tol</t>
  </si>
  <si>
    <t>l1</t>
  </si>
  <si>
    <t>min_samples_split</t>
  </si>
  <si>
    <t>min_samples_leaf</t>
  </si>
  <si>
    <t>max_features</t>
  </si>
  <si>
    <t>sqrt</t>
  </si>
  <si>
    <t>max_leaf_nodes</t>
  </si>
  <si>
    <t>splitter</t>
  </si>
  <si>
    <t>best</t>
  </si>
  <si>
    <t>class_weight</t>
  </si>
  <si>
    <t>balanced</t>
  </si>
  <si>
    <t>epochs</t>
  </si>
  <si>
    <t>p</t>
  </si>
  <si>
    <t>lambda1</t>
  </si>
  <si>
    <t>lambda2</t>
  </si>
  <si>
    <t>rho</t>
  </si>
  <si>
    <t>euclidean</t>
  </si>
  <si>
    <t>num_epochs</t>
  </si>
  <si>
    <t>start_temp</t>
  </si>
  <si>
    <t>min_temp</t>
  </si>
  <si>
    <t>tryout_limit</t>
  </si>
  <si>
    <t>relevance</t>
  </si>
  <si>
    <t>redundancy</t>
  </si>
  <si>
    <t>f</t>
  </si>
  <si>
    <t>c</t>
  </si>
  <si>
    <t>denominator</t>
  </si>
  <si>
    <t>mean</t>
  </si>
  <si>
    <t>cat_encoding</t>
  </si>
  <si>
    <t>leave_one_out</t>
  </si>
  <si>
    <t>n_jobs</t>
  </si>
  <si>
    <t>skew_threshold</t>
  </si>
  <si>
    <t>scale</t>
  </si>
  <si>
    <t>pre_keep</t>
  </si>
  <si>
    <t>ga_beta</t>
  </si>
  <si>
    <t>ga_pop</t>
  </si>
  <si>
    <t>ga_gen</t>
  </si>
  <si>
    <t>cv_splits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</si>
</sst>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2" borderId="7" xfId="0" applyFont="1" applyFill="1" applyBorder="1"/>
    <xf numFmtId="0" fontId="2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1" fillId="0" borderId="0" xfId="0" applyFont="1"/>
    <xf numFmtId="0" fontId="2" fillId="2" borderId="7" xfId="0" quotePrefix="1" applyFont="1" applyFill="1" applyBorder="1" applyAlignment="1">
      <alignment horizont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31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6908-9B5C-46BC-8A6F-15DB44ACBACA}">
  <sheetPr>
    <outlinePr summaryBelow="0" summaryRight="0"/>
  </sheetPr>
  <dimension ref="A1:D2"/>
  <sheetViews>
    <sheetView tabSelected="1" workbookViewId="0">
      <selection activeCell="G12" sqref="G12"/>
    </sheetView>
  </sheetViews>
  <sheetFormatPr defaultColWidth="14.42578125" defaultRowHeight="15" customHeight="1" x14ac:dyDescent="0.25"/>
  <cols>
    <col min="1" max="1" width="4.42578125" bestFit="1" customWidth="1"/>
    <col min="2" max="2" width="3" bestFit="1" customWidth="1"/>
    <col min="3" max="3" width="27.140625" bestFit="1" customWidth="1"/>
  </cols>
  <sheetData>
    <row r="1" spans="1:4" ht="15" customHeight="1" thickBot="1" x14ac:dyDescent="0.3">
      <c r="A1" s="1" t="s">
        <v>0</v>
      </c>
      <c r="B1" s="2" t="s">
        <v>80</v>
      </c>
      <c r="C1" s="2" t="s">
        <v>2</v>
      </c>
      <c r="D1" s="3"/>
    </row>
    <row r="2" spans="1:4" ht="15" customHeight="1" thickBot="1" x14ac:dyDescent="0.3">
      <c r="A2" s="4">
        <v>1</v>
      </c>
      <c r="B2" s="1">
        <v>1</v>
      </c>
      <c r="C2" s="1" t="str">
        <f>B$1&amp;"="&amp;B2</f>
        <v>skew_threshold=1</v>
      </c>
      <c r="D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01F9-3B72-4A4B-A5F2-B3FFDB6F3E84}">
  <sheetPr>
    <outlinePr summaryBelow="0" summaryRight="0"/>
  </sheetPr>
  <dimension ref="A1:D2"/>
  <sheetViews>
    <sheetView workbookViewId="0">
      <selection activeCell="I24" sqref="I24"/>
    </sheetView>
  </sheetViews>
  <sheetFormatPr defaultColWidth="14.42578125" defaultRowHeight="15" customHeight="1" x14ac:dyDescent="0.25"/>
  <cols>
    <col min="1" max="1" width="4.42578125" bestFit="1" customWidth="1"/>
    <col min="2" max="2" width="3" bestFit="1" customWidth="1"/>
    <col min="3" max="3" width="27.140625" bestFit="1" customWidth="1"/>
  </cols>
  <sheetData>
    <row r="1" spans="1:4" ht="15" customHeight="1" thickBot="1" x14ac:dyDescent="0.3">
      <c r="A1" s="1" t="s">
        <v>0</v>
      </c>
      <c r="B1" s="2" t="s">
        <v>1</v>
      </c>
      <c r="C1" s="2" t="s">
        <v>2</v>
      </c>
      <c r="D1" s="3"/>
    </row>
    <row r="2" spans="1:4" ht="15" customHeight="1" thickBot="1" x14ac:dyDescent="0.3">
      <c r="A2" s="4">
        <v>1</v>
      </c>
      <c r="B2" s="1">
        <v>5</v>
      </c>
      <c r="C2" s="1" t="str">
        <f>B$1&amp;"="&amp;B2</f>
        <v>t=5</v>
      </c>
      <c r="D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"/>
  <sheetViews>
    <sheetView workbookViewId="0">
      <selection activeCell="D25" sqref="D25"/>
    </sheetView>
  </sheetViews>
  <sheetFormatPr defaultColWidth="14.42578125" defaultRowHeight="15" customHeight="1" x14ac:dyDescent="0.25"/>
  <cols>
    <col min="1" max="1" width="4.42578125" bestFit="1" customWidth="1"/>
    <col min="2" max="2" width="9.7109375" bestFit="1" customWidth="1"/>
    <col min="3" max="3" width="15.28515625" bestFit="1" customWidth="1"/>
    <col min="4" max="4" width="13.42578125" bestFit="1" customWidth="1"/>
    <col min="5" max="5" width="25.5703125" bestFit="1" customWidth="1"/>
    <col min="6" max="6" width="11.85546875" bestFit="1" customWidth="1"/>
    <col min="7" max="7" width="6.140625" bestFit="1" customWidth="1"/>
    <col min="8" max="8" width="81.85546875" bestFit="1" customWidth="1"/>
  </cols>
  <sheetData>
    <row r="1" spans="1:8" ht="15" customHeight="1" x14ac:dyDescent="0.2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2</v>
      </c>
    </row>
    <row r="2" spans="1:8" ht="15" customHeight="1" x14ac:dyDescent="0.25">
      <c r="A2" s="1">
        <v>1</v>
      </c>
      <c r="B2" s="2" t="s">
        <v>66</v>
      </c>
      <c r="C2" s="2" t="s">
        <v>10</v>
      </c>
      <c r="D2" s="2" t="s">
        <v>11</v>
      </c>
      <c r="E2" s="2" t="s">
        <v>12</v>
      </c>
      <c r="F2" s="2" t="b">
        <v>0</v>
      </c>
      <c r="G2" s="2" t="b">
        <v>0</v>
      </c>
      <c r="H2" s="7" t="str">
        <f>$B$1&amp;"="&amp;B2&amp;"; "&amp;$C$1&amp;"="&amp;C2&amp;"; "&amp;$D$1&amp;"="&amp;D2&amp;"; "&amp;$E$1&amp;"="&amp;E2&amp;"; "&amp;$F$1&amp;"="&amp;F2&amp;"; "&amp;$G$1&amp;"="&amp;G2</f>
        <v>metric=euclidean; neighbor_mode=knn; weight_mode=heat_kernel; k=unique_labels; fisher_score=FALSE; relieF=FALSE</v>
      </c>
    </row>
  </sheetData>
  <conditionalFormatting sqref="B2:F2">
    <cfRule type="cellIs" dxfId="16" priority="1" operator="notEqual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"/>
  <sheetViews>
    <sheetView workbookViewId="0">
      <selection activeCell="E19" sqref="E19"/>
    </sheetView>
  </sheetViews>
  <sheetFormatPr defaultColWidth="14.42578125" defaultRowHeight="15" customHeight="1" x14ac:dyDescent="0.25"/>
  <cols>
    <col min="1" max="1" width="4.42578125" bestFit="1" customWidth="1"/>
    <col min="2" max="2" width="7.42578125" bestFit="1" customWidth="1"/>
    <col min="3" max="3" width="13.140625" customWidth="1"/>
    <col min="4" max="4" width="24.5703125" bestFit="1" customWidth="1"/>
  </cols>
  <sheetData>
    <row r="1" spans="1:4" x14ac:dyDescent="0.25">
      <c r="A1" s="1" t="s">
        <v>0</v>
      </c>
      <c r="B1" s="7" t="s">
        <v>3</v>
      </c>
      <c r="C1" s="3" t="s">
        <v>49</v>
      </c>
      <c r="D1" s="3" t="s">
        <v>2</v>
      </c>
    </row>
    <row r="2" spans="1:4" x14ac:dyDescent="0.25">
      <c r="A2" s="4">
        <v>1</v>
      </c>
      <c r="B2" s="7">
        <v>0.01</v>
      </c>
      <c r="C2" s="8">
        <v>1000</v>
      </c>
      <c r="D2" s="6" t="str">
        <f>$B$1&amp;"="&amp;B2&amp;","&amp;$C$1&amp;"="&amp;C2</f>
        <v>gamma=0.01,max_iter=1000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"/>
  <sheetViews>
    <sheetView workbookViewId="0">
      <selection activeCell="C45" sqref="C45"/>
    </sheetView>
  </sheetViews>
  <sheetFormatPr defaultColWidth="14.42578125" defaultRowHeight="15" customHeight="1" x14ac:dyDescent="0.25"/>
  <sheetData>
    <row r="1" spans="1:3" x14ac:dyDescent="0.25">
      <c r="A1" s="1" t="s">
        <v>0</v>
      </c>
      <c r="B1" s="7" t="s">
        <v>45</v>
      </c>
      <c r="C1" s="3" t="s">
        <v>2</v>
      </c>
    </row>
    <row r="2" spans="1:3" x14ac:dyDescent="0.25">
      <c r="A2" s="4">
        <v>1</v>
      </c>
      <c r="B2" s="7">
        <v>10</v>
      </c>
      <c r="C2" s="5" t="str">
        <f>$B$1&amp;"="&amp;B2</f>
        <v>n_neighbors=10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22B4-CEB0-4AF3-BC71-C275ED94B031}">
  <dimension ref="A1:G971"/>
  <sheetViews>
    <sheetView workbookViewId="0">
      <selection activeCell="G13" sqref="G13"/>
    </sheetView>
  </sheetViews>
  <sheetFormatPr defaultColWidth="14.42578125" defaultRowHeight="15" customHeight="1" x14ac:dyDescent="0.25"/>
  <cols>
    <col min="1" max="1" width="4.42578125" customWidth="1"/>
    <col min="2" max="2" width="11" bestFit="1" customWidth="1"/>
    <col min="3" max="3" width="17.85546875" customWidth="1"/>
    <col min="4" max="4" width="17.42578125" bestFit="1" customWidth="1"/>
    <col min="5" max="5" width="17.42578125" customWidth="1"/>
    <col min="6" max="6" width="13.28515625" bestFit="1" customWidth="1"/>
    <col min="7" max="7" width="140.7109375" bestFit="1" customWidth="1"/>
    <col min="8" max="23" width="8.7109375" customWidth="1"/>
  </cols>
  <sheetData>
    <row r="1" spans="1:7" x14ac:dyDescent="0.25">
      <c r="A1" s="1" t="s">
        <v>0</v>
      </c>
      <c r="B1" s="1" t="s">
        <v>63</v>
      </c>
      <c r="C1" s="2" t="s">
        <v>64</v>
      </c>
      <c r="D1" s="2" t="s">
        <v>53</v>
      </c>
      <c r="E1" s="2" t="s">
        <v>65</v>
      </c>
      <c r="F1" s="2" t="s">
        <v>49</v>
      </c>
      <c r="G1" s="2" t="s">
        <v>2</v>
      </c>
    </row>
    <row r="2" spans="1:7" x14ac:dyDescent="0.25">
      <c r="A2" s="1">
        <v>1</v>
      </c>
      <c r="B2" s="1">
        <v>0.8</v>
      </c>
      <c r="C2" s="1">
        <v>0.8</v>
      </c>
      <c r="D2" s="1">
        <v>5</v>
      </c>
      <c r="E2" s="1">
        <v>0.1</v>
      </c>
      <c r="F2" s="1">
        <v>300</v>
      </c>
      <c r="G2" s="1" t="str">
        <f>$B$1&amp;"="&amp;B2&amp;"; "&amp;$C$1&amp;"="&amp;C2&amp;"; "&amp;$D$1&amp;"="&amp;D2&amp;"; "&amp;$E$1&amp;"="&amp;E2 &amp;"; "&amp;$F$1&amp;"="&amp;F2&amp;""</f>
        <v>lambda1=0.8; lambda2=0.8; min_samples_leaf=5; rho=0.1; max_iter=300</v>
      </c>
    </row>
    <row r="3" spans="1:7" ht="15.75" customHeight="1" x14ac:dyDescent="0.25"/>
    <row r="4" spans="1:7" ht="15.75" customHeight="1" x14ac:dyDescent="0.25"/>
    <row r="5" spans="1:7" ht="15.75" customHeight="1" x14ac:dyDescent="0.25"/>
    <row r="6" spans="1:7" ht="15.75" customHeight="1" x14ac:dyDescent="0.25"/>
    <row r="7" spans="1:7" ht="15.75" customHeight="1" x14ac:dyDescent="0.25">
      <c r="B7" s="24"/>
    </row>
    <row r="8" spans="1:7" ht="15.75" customHeight="1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F2">
    <cfRule type="cellIs" dxfId="15" priority="1" operator="notEqual">
      <formula>#REF!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"/>
  <sheetViews>
    <sheetView workbookViewId="0">
      <selection activeCell="I15" sqref="I15"/>
    </sheetView>
  </sheetViews>
  <sheetFormatPr defaultColWidth="14.42578125" defaultRowHeight="15" customHeight="1" x14ac:dyDescent="0.25"/>
  <sheetData>
    <row r="1" spans="1:3" x14ac:dyDescent="0.25">
      <c r="A1" s="11" t="s">
        <v>0</v>
      </c>
      <c r="B1" s="3" t="s">
        <v>62</v>
      </c>
      <c r="C1" s="3" t="s">
        <v>2</v>
      </c>
    </row>
    <row r="2" spans="1:3" x14ac:dyDescent="0.25">
      <c r="A2" s="16">
        <v>1</v>
      </c>
      <c r="B2" s="12">
        <v>0.1</v>
      </c>
      <c r="C2" s="5" t="str">
        <f>$B$1&amp;"="&amp;B2&amp;"; "</f>
        <v xml:space="preserve">p=0.1;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88"/>
  <sheetViews>
    <sheetView workbookViewId="0">
      <selection activeCell="H2" sqref="A1:H2"/>
    </sheetView>
  </sheetViews>
  <sheetFormatPr defaultColWidth="14.42578125" defaultRowHeight="15" customHeight="1" x14ac:dyDescent="0.25"/>
  <cols>
    <col min="1" max="1" width="4.42578125" customWidth="1"/>
    <col min="2" max="2" width="9.7109375" customWidth="1"/>
    <col min="3" max="3" width="15.28515625" customWidth="1"/>
    <col min="4" max="4" width="13.42578125" customWidth="1"/>
    <col min="5" max="5" width="13.7109375" customWidth="1"/>
    <col min="6" max="6" width="11.28515625" customWidth="1"/>
    <col min="7" max="7" width="6.140625" customWidth="1"/>
    <col min="8" max="8" width="110.140625" customWidth="1"/>
    <col min="9" max="26" width="8.7109375" customWidth="1"/>
  </cols>
  <sheetData>
    <row r="1" spans="1:8" x14ac:dyDescent="0.2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2</v>
      </c>
    </row>
    <row r="2" spans="1:8" x14ac:dyDescent="0.25">
      <c r="A2" s="1">
        <v>1</v>
      </c>
      <c r="B2" s="2" t="s">
        <v>66</v>
      </c>
      <c r="C2" s="2" t="s">
        <v>10</v>
      </c>
      <c r="D2" s="2" t="s">
        <v>11</v>
      </c>
      <c r="E2" s="2" t="s">
        <v>12</v>
      </c>
      <c r="F2" s="2" t="b">
        <v>0</v>
      </c>
      <c r="G2" s="2" t="b">
        <v>0</v>
      </c>
      <c r="H2" s="7" t="str">
        <f>$B$1&amp;"="&amp;B2&amp;"; "&amp;$C$1&amp;"="&amp;C2&amp;"; "&amp;$D$1&amp;"="&amp;D2&amp;"; "&amp;$E$1&amp;"="&amp;E2&amp;"; "&amp;$F$1&amp;"="&amp;F2&amp;"; "&amp;$G$1&amp;"="&amp;G2</f>
        <v>metric=euclidean; neighbor_mode=knn; weight_mode=heat_kernel; k=unique_labels; fisher_score=FALSE; relieF=FALSE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conditionalFormatting sqref="B2:F2">
    <cfRule type="cellIs" dxfId="14" priority="1" operator="notEqual">
      <formula>#REF!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DE80-8AC2-45AF-9E1A-F6ADCBDE704E}">
  <dimension ref="A1:D971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4.42578125" customWidth="1"/>
    <col min="2" max="2" width="2.140625" bestFit="1" customWidth="1"/>
    <col min="3" max="3" width="7.7109375" bestFit="1" customWidth="1"/>
    <col min="4" max="4" width="38.28515625" bestFit="1" customWidth="1"/>
    <col min="5" max="7" width="11" customWidth="1"/>
    <col min="8" max="8" width="83.7109375" customWidth="1"/>
    <col min="9" max="29" width="8.7109375" customWidth="1"/>
  </cols>
  <sheetData>
    <row r="1" spans="1:4" x14ac:dyDescent="0.25">
      <c r="A1" s="1" t="s">
        <v>0</v>
      </c>
      <c r="B1" s="1" t="s">
        <v>31</v>
      </c>
      <c r="C1" s="2" t="s">
        <v>3</v>
      </c>
      <c r="D1" s="2" t="s">
        <v>2</v>
      </c>
    </row>
    <row r="2" spans="1:4" x14ac:dyDescent="0.25">
      <c r="A2" s="1">
        <v>1</v>
      </c>
      <c r="B2" s="1">
        <v>1</v>
      </c>
      <c r="C2" s="1" t="s">
        <v>81</v>
      </c>
      <c r="D2" s="1" t="str">
        <f>$B$1&amp;"="&amp;B2&amp;"; "&amp;$C$1&amp;"="&amp;C2&amp;""</f>
        <v>C=1; gamma=scale</v>
      </c>
    </row>
    <row r="3" spans="1:4" ht="15.75" customHeight="1" x14ac:dyDescent="0.25"/>
    <row r="4" spans="1:4" ht="15.75" customHeight="1" x14ac:dyDescent="0.25"/>
    <row r="5" spans="1:4" ht="15.75" customHeight="1" x14ac:dyDescent="0.25"/>
    <row r="6" spans="1:4" ht="15.75" customHeight="1" x14ac:dyDescent="0.25"/>
    <row r="7" spans="1:4" ht="15.75" customHeight="1" x14ac:dyDescent="0.25"/>
    <row r="8" spans="1:4" ht="15.75" customHeight="1" x14ac:dyDescent="0.25"/>
    <row r="9" spans="1:4" ht="15.75" customHeight="1" x14ac:dyDescent="0.25"/>
    <row r="10" spans="1:4" ht="15.75" customHeight="1" x14ac:dyDescent="0.25"/>
    <row r="11" spans="1:4" ht="15.75" customHeight="1" x14ac:dyDescent="0.25"/>
    <row r="12" spans="1:4" ht="15.75" customHeight="1" x14ac:dyDescent="0.25"/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C2">
    <cfRule type="cellIs" dxfId="13" priority="1" operator="notEqual">
      <formula>#REF!</formula>
    </cfRule>
  </conditionalFormatting>
  <conditionalFormatting sqref="B7:C7">
    <cfRule type="cellIs" dxfId="12" priority="2" operator="notEqual">
      <formula>#REF!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E322-8476-4FE1-B725-92AC4836101A}">
  <dimension ref="A1:G971"/>
  <sheetViews>
    <sheetView workbookViewId="0">
      <selection activeCell="K22" sqref="K22"/>
    </sheetView>
  </sheetViews>
  <sheetFormatPr defaultColWidth="14.42578125" defaultRowHeight="15" customHeight="1" x14ac:dyDescent="0.25"/>
  <cols>
    <col min="1" max="1" width="4.42578125" customWidth="1"/>
    <col min="2" max="2" width="2.85546875" bestFit="1" customWidth="1"/>
    <col min="3" max="3" width="7.7109375" bestFit="1" customWidth="1"/>
    <col min="4" max="4" width="6.42578125" bestFit="1" customWidth="1"/>
    <col min="5" max="5" width="8.85546875" bestFit="1" customWidth="1"/>
    <col min="6" max="6" width="8.85546875" customWidth="1"/>
    <col min="7" max="7" width="38.28515625" bestFit="1" customWidth="1"/>
    <col min="8" max="10" width="11" customWidth="1"/>
    <col min="11" max="11" width="83.7109375" customWidth="1"/>
    <col min="12" max="32" width="8.7109375" customWidth="1"/>
  </cols>
  <sheetData>
    <row r="1" spans="1:7" x14ac:dyDescent="0.25">
      <c r="A1" s="1" t="s">
        <v>0</v>
      </c>
      <c r="B1" s="1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2</v>
      </c>
    </row>
    <row r="2" spans="1:7" x14ac:dyDescent="0.25">
      <c r="A2" s="1">
        <v>1</v>
      </c>
      <c r="B2" s="1">
        <v>50</v>
      </c>
      <c r="C2" s="1">
        <v>2</v>
      </c>
      <c r="D2" s="23">
        <v>20</v>
      </c>
      <c r="E2" s="23">
        <v>50</v>
      </c>
      <c r="F2" s="23">
        <v>5</v>
      </c>
      <c r="G2" s="1" t="str">
        <f>$B$1&amp;"="&amp;B2&amp;"; "&amp;$C$1&amp;"="&amp;C2&amp;"; "&amp;$D$1&amp;"="&amp;D2&amp;"; "&amp;$E$1&amp;"="&amp;E2</f>
        <v>pre_keep=50; ga_beta=2; ga_pop=20; ga_gen=50</v>
      </c>
    </row>
    <row r="3" spans="1:7" ht="15.75" customHeight="1" x14ac:dyDescent="0.25"/>
    <row r="4" spans="1:7" ht="15.75" customHeight="1" x14ac:dyDescent="0.25"/>
    <row r="5" spans="1:7" ht="15.75" customHeight="1" x14ac:dyDescent="0.25"/>
    <row r="6" spans="1:7" ht="15.75" customHeight="1" x14ac:dyDescent="0.25"/>
    <row r="7" spans="1:7" ht="15.75" customHeight="1" x14ac:dyDescent="0.25"/>
    <row r="8" spans="1:7" ht="15.75" customHeight="1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F2">
    <cfRule type="cellIs" dxfId="11" priority="1" operator="notEqual">
      <formula>#REF!</formula>
    </cfRule>
  </conditionalFormatting>
  <conditionalFormatting sqref="B7:F7">
    <cfRule type="cellIs" dxfId="10" priority="2" operator="notEqual">
      <formula>#REF!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2454-7BE2-4DF7-8A9C-B5B74AAD7314}">
  <dimension ref="A1:F971"/>
  <sheetViews>
    <sheetView workbookViewId="0">
      <selection activeCell="F22" sqref="F22"/>
    </sheetView>
  </sheetViews>
  <sheetFormatPr defaultColWidth="14.42578125" defaultRowHeight="15" customHeight="1" x14ac:dyDescent="0.25"/>
  <cols>
    <col min="1" max="1" width="4.42578125" customWidth="1"/>
    <col min="2" max="2" width="2.140625" bestFit="1" customWidth="1"/>
    <col min="3" max="3" width="7.7109375" bestFit="1" customWidth="1"/>
    <col min="4" max="4" width="5.5703125" bestFit="1" customWidth="1"/>
    <col min="5" max="5" width="8.85546875" bestFit="1" customWidth="1"/>
    <col min="6" max="6" width="38.28515625" bestFit="1" customWidth="1"/>
    <col min="7" max="9" width="11" customWidth="1"/>
    <col min="10" max="10" width="83.7109375" customWidth="1"/>
    <col min="11" max="31" width="8.7109375" customWidth="1"/>
  </cols>
  <sheetData>
    <row r="1" spans="1:6" x14ac:dyDescent="0.25">
      <c r="A1" s="1" t="s">
        <v>0</v>
      </c>
      <c r="B1" s="1" t="s">
        <v>31</v>
      </c>
      <c r="C1" s="2" t="s">
        <v>32</v>
      </c>
      <c r="D1" s="2" t="s">
        <v>50</v>
      </c>
      <c r="E1" s="2" t="s">
        <v>49</v>
      </c>
      <c r="F1" s="2" t="s">
        <v>2</v>
      </c>
    </row>
    <row r="2" spans="1:6" x14ac:dyDescent="0.25">
      <c r="A2" s="1">
        <v>1</v>
      </c>
      <c r="B2" s="1">
        <v>1</v>
      </c>
      <c r="C2" s="1" t="s">
        <v>51</v>
      </c>
      <c r="D2" s="22">
        <v>1E-3</v>
      </c>
      <c r="E2" s="23">
        <v>1000</v>
      </c>
      <c r="F2" s="1" t="str">
        <f>$B$1&amp;"="&amp;B2&amp;"; "&amp;$C$1&amp;"="&amp;C2&amp;"; "&amp;$D$1&amp;"="&amp;D2&amp;"; "&amp;$E$1&amp;"="&amp;E2</f>
        <v>C=1; penalty=l1; tol=0.001; max_iter=1000</v>
      </c>
    </row>
    <row r="3" spans="1:6" ht="15.75" customHeight="1" x14ac:dyDescent="0.25"/>
    <row r="4" spans="1:6" ht="15.75" customHeight="1" x14ac:dyDescent="0.25"/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E2">
    <cfRule type="cellIs" dxfId="9" priority="1" operator="notEqual">
      <formula>#REF!</formula>
    </cfRule>
  </conditionalFormatting>
  <conditionalFormatting sqref="B7:E7">
    <cfRule type="cellIs" dxfId="8" priority="2" operator="notEqual">
      <formula>#REF!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784-C9CD-4071-B109-B904B21370D9}">
  <dimension ref="A1:E971"/>
  <sheetViews>
    <sheetView workbookViewId="0">
      <selection activeCell="I19" sqref="I19"/>
    </sheetView>
  </sheetViews>
  <sheetFormatPr defaultColWidth="14.42578125" defaultRowHeight="15" customHeight="1" x14ac:dyDescent="0.25"/>
  <cols>
    <col min="1" max="1" width="4.140625" bestFit="1" customWidth="1"/>
    <col min="2" max="2" width="11.7109375" bestFit="1" customWidth="1"/>
    <col min="3" max="3" width="11.85546875" bestFit="1" customWidth="1"/>
    <col min="4" max="4" width="10.28515625" bestFit="1" customWidth="1"/>
    <col min="5" max="5" width="44.5703125" bestFit="1" customWidth="1"/>
    <col min="6" max="8" width="11" customWidth="1"/>
    <col min="9" max="9" width="83.7109375" customWidth="1"/>
    <col min="10" max="30" width="8.7109375" customWidth="1"/>
  </cols>
  <sheetData>
    <row r="1" spans="1:5" x14ac:dyDescent="0.25">
      <c r="A1" s="1" t="s">
        <v>0</v>
      </c>
      <c r="B1" s="1" t="s">
        <v>13</v>
      </c>
      <c r="C1" s="1" t="s">
        <v>14</v>
      </c>
      <c r="D1" s="2" t="s">
        <v>15</v>
      </c>
      <c r="E1" s="2" t="s">
        <v>2</v>
      </c>
    </row>
    <row r="2" spans="1:5" x14ac:dyDescent="0.25">
      <c r="A2" s="1">
        <v>1</v>
      </c>
      <c r="B2" s="1">
        <v>100</v>
      </c>
      <c r="C2" s="1">
        <v>0.1</v>
      </c>
      <c r="D2" s="1">
        <v>3</v>
      </c>
      <c r="E2" s="1" t="str">
        <f>$B$1&amp;"="&amp;B2&amp;"; "&amp;$C$1&amp;"="&amp;C2&amp;"; "&amp;$D$1&amp;"="&amp;D2&amp;""</f>
        <v>n_estimators=100; learning_rate=0.1; max_depth=3</v>
      </c>
    </row>
    <row r="3" spans="1:5" ht="15.75" customHeight="1" x14ac:dyDescent="0.25"/>
    <row r="4" spans="1:5" ht="15.75" customHeight="1" x14ac:dyDescent="0.25"/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D2">
    <cfRule type="cellIs" dxfId="7" priority="1" operator="notEqual">
      <formula>#REF!</formula>
    </cfRule>
  </conditionalFormatting>
  <conditionalFormatting sqref="B7:D7">
    <cfRule type="cellIs" dxfId="6" priority="2" operator="notEqual">
      <formula>#REF!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3A0E-1EF2-42F3-9E8D-30B40A0AB7E3}">
  <dimension ref="A1:F971"/>
  <sheetViews>
    <sheetView workbookViewId="0">
      <selection activeCell="I27" sqref="I27"/>
    </sheetView>
  </sheetViews>
  <sheetFormatPr defaultColWidth="14.42578125" defaultRowHeight="15" customHeight="1" x14ac:dyDescent="0.25"/>
  <cols>
    <col min="1" max="1" width="4.42578125" customWidth="1"/>
    <col min="2" max="2" width="2.140625" bestFit="1" customWidth="1"/>
    <col min="3" max="3" width="7.7109375" bestFit="1" customWidth="1"/>
    <col min="4" max="4" width="5.5703125" bestFit="1" customWidth="1"/>
    <col min="5" max="5" width="8.85546875" bestFit="1" customWidth="1"/>
    <col min="6" max="6" width="38.28515625" bestFit="1" customWidth="1"/>
    <col min="7" max="9" width="11" customWidth="1"/>
    <col min="10" max="10" width="83.7109375" customWidth="1"/>
    <col min="11" max="31" width="8.7109375" customWidth="1"/>
  </cols>
  <sheetData>
    <row r="1" spans="1:6" x14ac:dyDescent="0.25">
      <c r="A1" s="1" t="s">
        <v>0</v>
      </c>
      <c r="B1" s="1" t="s">
        <v>31</v>
      </c>
      <c r="C1" s="2" t="s">
        <v>32</v>
      </c>
      <c r="D1" s="2" t="s">
        <v>50</v>
      </c>
      <c r="E1" s="2" t="s">
        <v>49</v>
      </c>
      <c r="F1" s="2" t="s">
        <v>2</v>
      </c>
    </row>
    <row r="2" spans="1:6" x14ac:dyDescent="0.25">
      <c r="A2" s="1">
        <v>1</v>
      </c>
      <c r="B2" s="1">
        <v>0.1</v>
      </c>
      <c r="C2" s="1" t="s">
        <v>51</v>
      </c>
      <c r="D2" s="22">
        <v>0.05</v>
      </c>
      <c r="E2" s="23">
        <v>500</v>
      </c>
      <c r="F2" s="1" t="str">
        <f>$B$1&amp;"="&amp;B2&amp;"; "&amp;$C$1&amp;"="&amp;C2&amp;"; "&amp;$D$1&amp;"="&amp;D2&amp;"; "&amp;$E$1&amp;"="&amp;E2</f>
        <v>C=0.1; penalty=l1; tol=0.05; max_iter=500</v>
      </c>
    </row>
    <row r="3" spans="1:6" ht="15.75" customHeight="1" x14ac:dyDescent="0.25"/>
    <row r="4" spans="1:6" ht="15.75" customHeight="1" x14ac:dyDescent="0.25"/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E2">
    <cfRule type="cellIs" dxfId="5" priority="1" operator="notEqual">
      <formula>#REF!</formula>
    </cfRule>
  </conditionalFormatting>
  <conditionalFormatting sqref="B7:E7">
    <cfRule type="cellIs" dxfId="4" priority="2" operator="notEqual">
      <formula>#REF!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B78-3365-407C-818F-7FB9698861E3}">
  <dimension ref="A1:J971"/>
  <sheetViews>
    <sheetView workbookViewId="0">
      <selection activeCell="F27" sqref="F27"/>
    </sheetView>
  </sheetViews>
  <sheetFormatPr defaultColWidth="14.42578125" defaultRowHeight="15" customHeight="1" x14ac:dyDescent="0.25"/>
  <cols>
    <col min="1" max="1" width="4.42578125" customWidth="1"/>
    <col min="2" max="2" width="11" bestFit="1" customWidth="1"/>
    <col min="3" max="3" width="17.85546875" customWidth="1"/>
    <col min="4" max="4" width="17.42578125" bestFit="1" customWidth="1"/>
    <col min="5" max="5" width="13.28515625" bestFit="1" customWidth="1"/>
    <col min="6" max="6" width="15.7109375" bestFit="1" customWidth="1"/>
    <col min="7" max="7" width="7.42578125" bestFit="1" customWidth="1"/>
    <col min="8" max="8" width="12.28515625" bestFit="1" customWidth="1"/>
    <col min="9" max="9" width="8.85546875" bestFit="1" customWidth="1"/>
    <col min="10" max="10" width="140.7109375" bestFit="1" customWidth="1"/>
    <col min="11" max="26" width="8.7109375" customWidth="1"/>
  </cols>
  <sheetData>
    <row r="1" spans="1:10" x14ac:dyDescent="0.25">
      <c r="A1" s="1" t="s">
        <v>0</v>
      </c>
      <c r="B1" s="1" t="s">
        <v>15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59</v>
      </c>
      <c r="I1" s="2" t="s">
        <v>49</v>
      </c>
      <c r="J1" s="2" t="s">
        <v>2</v>
      </c>
    </row>
    <row r="2" spans="1:10" x14ac:dyDescent="0.25">
      <c r="A2" s="1">
        <v>1</v>
      </c>
      <c r="B2" s="1">
        <v>4</v>
      </c>
      <c r="C2" s="1">
        <v>10</v>
      </c>
      <c r="D2" s="1">
        <v>5</v>
      </c>
      <c r="E2" s="1" t="s">
        <v>55</v>
      </c>
      <c r="F2" s="23">
        <v>15</v>
      </c>
      <c r="G2" s="22" t="s">
        <v>58</v>
      </c>
      <c r="H2" s="22" t="s">
        <v>60</v>
      </c>
      <c r="I2" s="23">
        <v>1000</v>
      </c>
      <c r="J2" s="1" t="str">
        <f>$B$1&amp;"="&amp;B2&amp;"; "&amp;$C$1&amp;"="&amp;C2&amp;"; "&amp;$D$1&amp;"="&amp;D2&amp;"; "&amp;$E$1&amp;"="&amp;E2&amp;"; "&amp;$F$1&amp;"="&amp;F2&amp;"; "&amp;$G$1&amp;"="&amp;G2&amp;"; "&amp;$H$1&amp;"="&amp;H2&amp;"; "&amp;$I$1&amp;"="&amp;I2</f>
        <v>max_depth=4; min_samples_split=10; min_samples_leaf=5; max_features=sqrt; max_leaf_nodes=15; splitter=best; class_weight=balanced; max_iter=1000</v>
      </c>
    </row>
    <row r="3" spans="1:10" ht="15.75" customHeight="1" x14ac:dyDescent="0.25"/>
    <row r="4" spans="1:10" ht="15.75" customHeight="1" x14ac:dyDescent="0.25"/>
    <row r="5" spans="1:10" ht="15.75" customHeight="1" x14ac:dyDescent="0.25"/>
    <row r="6" spans="1:10" ht="15.75" customHeight="1" x14ac:dyDescent="0.25"/>
    <row r="7" spans="1:10" ht="15.75" customHeight="1" x14ac:dyDescent="0.25"/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I2">
    <cfRule type="cellIs" dxfId="3" priority="1" operator="notEqual">
      <formula>#REF!</formula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A30E-2BEE-4795-96B1-CDA05656B7C1}">
  <dimension ref="A1:J971"/>
  <sheetViews>
    <sheetView workbookViewId="0">
      <selection activeCell="F12" sqref="F12"/>
    </sheetView>
  </sheetViews>
  <sheetFormatPr defaultColWidth="14.42578125" defaultRowHeight="15" customHeight="1" x14ac:dyDescent="0.25"/>
  <cols>
    <col min="1" max="1" width="4.42578125" customWidth="1"/>
    <col min="2" max="2" width="11" bestFit="1" customWidth="1"/>
    <col min="3" max="3" width="17.85546875" customWidth="1"/>
    <col min="4" max="4" width="17.42578125" bestFit="1" customWidth="1"/>
    <col min="5" max="5" width="13.28515625" bestFit="1" customWidth="1"/>
    <col min="6" max="6" width="15.7109375" bestFit="1" customWidth="1"/>
    <col min="7" max="7" width="7.42578125" bestFit="1" customWidth="1"/>
    <col min="8" max="8" width="12.28515625" bestFit="1" customWidth="1"/>
    <col min="9" max="9" width="8.85546875" bestFit="1" customWidth="1"/>
    <col min="10" max="10" width="140.7109375" bestFit="1" customWidth="1"/>
    <col min="11" max="26" width="8.7109375" customWidth="1"/>
  </cols>
  <sheetData>
    <row r="1" spans="1:10" x14ac:dyDescent="0.25">
      <c r="A1" s="1" t="s">
        <v>0</v>
      </c>
      <c r="B1" s="1" t="s">
        <v>15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59</v>
      </c>
      <c r="I1" s="2" t="s">
        <v>49</v>
      </c>
      <c r="J1" s="2" t="s">
        <v>2</v>
      </c>
    </row>
    <row r="2" spans="1:10" x14ac:dyDescent="0.25">
      <c r="A2" s="1">
        <v>1</v>
      </c>
      <c r="B2" s="1">
        <v>4</v>
      </c>
      <c r="C2" s="1">
        <v>10</v>
      </c>
      <c r="D2" s="1">
        <v>5</v>
      </c>
      <c r="E2" s="1" t="s">
        <v>55</v>
      </c>
      <c r="F2" s="23">
        <v>15</v>
      </c>
      <c r="G2" s="22" t="s">
        <v>58</v>
      </c>
      <c r="H2" s="22" t="s">
        <v>60</v>
      </c>
      <c r="I2" s="23">
        <v>1000</v>
      </c>
      <c r="J2" s="1" t="str">
        <f>$B$1&amp;"="&amp;B2&amp;"; "&amp;$C$1&amp;"="&amp;C2&amp;"; "&amp;$D$1&amp;"="&amp;D2&amp;"; "&amp;$E$1&amp;"="&amp;E2&amp;"; "&amp;$F$1&amp;"="&amp;F2&amp;"; "&amp;$G$1&amp;"="&amp;G2&amp;"; "&amp;$H$1&amp;"="&amp;H2&amp;"; "&amp;$I$1&amp;"="&amp;I2</f>
        <v>max_depth=4; min_samples_split=10; min_samples_leaf=5; max_features=sqrt; max_leaf_nodes=15; splitter=best; class_weight=balanced; max_iter=1000</v>
      </c>
    </row>
    <row r="3" spans="1:10" ht="15.75" customHeight="1" x14ac:dyDescent="0.25"/>
    <row r="4" spans="1:10" ht="15.75" customHeight="1" x14ac:dyDescent="0.25"/>
    <row r="5" spans="1:10" ht="15.75" customHeight="1" x14ac:dyDescent="0.25"/>
    <row r="6" spans="1:10" ht="15.75" customHeight="1" x14ac:dyDescent="0.25"/>
    <row r="7" spans="1:10" ht="15.75" customHeight="1" x14ac:dyDescent="0.25"/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I2">
    <cfRule type="cellIs" dxfId="2" priority="1" operator="notEqual">
      <formula>#REF!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71"/>
  <sheetViews>
    <sheetView workbookViewId="0">
      <selection activeCell="E2" sqref="E2"/>
    </sheetView>
  </sheetViews>
  <sheetFormatPr defaultColWidth="14.42578125" defaultRowHeight="15" customHeight="1" x14ac:dyDescent="0.25"/>
  <cols>
    <col min="1" max="1" width="4.42578125" customWidth="1"/>
    <col min="2" max="2" width="15.28515625" customWidth="1"/>
    <col min="3" max="3" width="17.85546875" customWidth="1"/>
    <col min="4" max="4" width="11" customWidth="1"/>
    <col min="5" max="5" width="83.7109375" customWidth="1"/>
    <col min="6" max="26" width="8.7109375" customWidth="1"/>
  </cols>
  <sheetData>
    <row r="1" spans="1:5" x14ac:dyDescent="0.25">
      <c r="A1" s="1" t="s">
        <v>0</v>
      </c>
      <c r="B1" s="1" t="s">
        <v>13</v>
      </c>
      <c r="C1" s="2" t="s">
        <v>14</v>
      </c>
      <c r="D1" s="2" t="s">
        <v>15</v>
      </c>
      <c r="E1" s="2" t="s">
        <v>2</v>
      </c>
    </row>
    <row r="2" spans="1:5" x14ac:dyDescent="0.25">
      <c r="A2" s="1">
        <v>1</v>
      </c>
      <c r="B2" s="1">
        <v>100</v>
      </c>
      <c r="C2" s="1">
        <v>5</v>
      </c>
      <c r="D2" s="1">
        <v>5</v>
      </c>
      <c r="E2" s="1" t="str">
        <f>$B$1&amp;"="&amp;B2&amp;"; "&amp;$C$1&amp;"="&amp;C2&amp;"; "&amp;$D$1&amp;"="&amp;D2</f>
        <v>n_estimators=100; learning_rate=5; max_depth=5</v>
      </c>
    </row>
    <row r="3" spans="1:5" ht="15.75" customHeight="1" x14ac:dyDescent="0.25"/>
    <row r="4" spans="1:5" ht="15.75" customHeight="1" x14ac:dyDescent="0.25"/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conditionalFormatting sqref="B2:D2">
    <cfRule type="cellIs" dxfId="1" priority="1" operator="notEqual">
      <formula>#REF!</formula>
    </cfRule>
  </conditionalFormatting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81"/>
  <sheetViews>
    <sheetView workbookViewId="0">
      <selection activeCell="H38" sqref="H38"/>
    </sheetView>
  </sheetViews>
  <sheetFormatPr defaultColWidth="14.42578125" defaultRowHeight="15" customHeight="1" x14ac:dyDescent="0.25"/>
  <cols>
    <col min="1" max="1" width="8.140625" customWidth="1"/>
    <col min="2" max="2" width="12.5703125" customWidth="1"/>
    <col min="3" max="3" width="11" customWidth="1"/>
    <col min="4" max="4" width="52.5703125" bestFit="1" customWidth="1"/>
    <col min="5" max="7" width="8.7109375" customWidth="1"/>
    <col min="8" max="8" width="52.5703125" bestFit="1" customWidth="1"/>
    <col min="9" max="25" width="8.7109375" customWidth="1"/>
  </cols>
  <sheetData>
    <row r="1" spans="1:4" x14ac:dyDescent="0.25">
      <c r="A1" s="1" t="s">
        <v>0</v>
      </c>
      <c r="B1" s="1" t="s">
        <v>13</v>
      </c>
      <c r="C1" s="2" t="s">
        <v>15</v>
      </c>
      <c r="D1" s="2" t="s">
        <v>2</v>
      </c>
    </row>
    <row r="2" spans="1:4" x14ac:dyDescent="0.25">
      <c r="A2" s="1">
        <v>1</v>
      </c>
      <c r="B2" s="1">
        <v>200</v>
      </c>
      <c r="C2" s="1">
        <v>3</v>
      </c>
      <c r="D2" s="1" t="str">
        <f>$B$1&amp;"="&amp;B2&amp;"; "&amp;$C$1&amp;"="&amp;C2</f>
        <v>n_estimators=200; max_depth=3</v>
      </c>
    </row>
    <row r="3" spans="1:4" ht="15.75" customHeight="1" x14ac:dyDescent="0.25"/>
    <row r="4" spans="1:4" ht="15.75" customHeight="1" x14ac:dyDescent="0.25"/>
    <row r="5" spans="1:4" ht="15.75" customHeight="1" x14ac:dyDescent="0.25"/>
    <row r="6" spans="1:4" ht="15.75" customHeight="1" x14ac:dyDescent="0.25"/>
    <row r="7" spans="1:4" ht="15.75" customHeight="1" x14ac:dyDescent="0.25"/>
    <row r="8" spans="1:4" ht="15.75" customHeight="1" x14ac:dyDescent="0.25"/>
    <row r="9" spans="1:4" ht="15.75" customHeight="1" x14ac:dyDescent="0.25"/>
    <row r="10" spans="1:4" ht="15.75" customHeight="1" x14ac:dyDescent="0.25"/>
    <row r="11" spans="1:4" ht="15.75" customHeight="1" x14ac:dyDescent="0.25"/>
    <row r="12" spans="1:4" ht="15.75" customHeight="1" x14ac:dyDescent="0.25"/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conditionalFormatting sqref="B2:C2">
    <cfRule type="cellIs" dxfId="0" priority="8" operator="notEqual">
      <formula>#REF!</formula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96"/>
  <sheetViews>
    <sheetView workbookViewId="0">
      <selection activeCell="A3" sqref="A3"/>
    </sheetView>
  </sheetViews>
  <sheetFormatPr defaultColWidth="14.42578125" defaultRowHeight="15" customHeight="1" x14ac:dyDescent="0.25"/>
  <cols>
    <col min="1" max="1" width="8.7109375" customWidth="1"/>
    <col min="2" max="2" width="12.7109375" customWidth="1"/>
    <col min="3" max="3" width="16.42578125" customWidth="1"/>
    <col min="4" max="26" width="8.7109375" customWidth="1"/>
  </cols>
  <sheetData>
    <row r="1" spans="1:3" x14ac:dyDescent="0.25">
      <c r="A1" s="1" t="s">
        <v>0</v>
      </c>
      <c r="B1" s="7" t="s">
        <v>1</v>
      </c>
      <c r="C1" s="3" t="s">
        <v>2</v>
      </c>
    </row>
    <row r="2" spans="1:3" x14ac:dyDescent="0.25">
      <c r="A2" s="1">
        <v>1</v>
      </c>
      <c r="B2" s="7">
        <v>1</v>
      </c>
      <c r="C2" s="6" t="str">
        <f>$B$1&amp;"="&amp;B2</f>
        <v>t=1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B482-E6CE-4605-A67D-F64DA944CD1D}">
  <dimension ref="A1:I991"/>
  <sheetViews>
    <sheetView workbookViewId="0">
      <selection activeCell="I11" sqref="I11"/>
    </sheetView>
  </sheetViews>
  <sheetFormatPr defaultColWidth="14.42578125" defaultRowHeight="15" customHeight="1" x14ac:dyDescent="0.25"/>
  <cols>
    <col min="1" max="1" width="4.42578125" customWidth="1"/>
    <col min="2" max="2" width="12.28515625" bestFit="1" customWidth="1"/>
    <col min="3" max="3" width="10.28515625" bestFit="1" customWidth="1"/>
    <col min="4" max="4" width="12.85546875" bestFit="1" customWidth="1"/>
    <col min="5" max="5" width="10.7109375" bestFit="1" customWidth="1"/>
    <col min="6" max="6" width="13.42578125" customWidth="1"/>
    <col min="7" max="7" width="10.140625" bestFit="1" customWidth="1"/>
    <col min="8" max="8" width="11.5703125" bestFit="1" customWidth="1"/>
    <col min="9" max="9" width="105.42578125" bestFit="1" customWidth="1"/>
    <col min="10" max="24" width="8.7109375" customWidth="1"/>
  </cols>
  <sheetData>
    <row r="1" spans="1:9" ht="15.75" thickBot="1" x14ac:dyDescent="0.3">
      <c r="A1" s="9" t="s">
        <v>0</v>
      </c>
      <c r="B1" s="3" t="s">
        <v>67</v>
      </c>
      <c r="C1" s="3" t="s">
        <v>41</v>
      </c>
      <c r="D1" s="3" t="s">
        <v>14</v>
      </c>
      <c r="E1" s="3" t="s">
        <v>68</v>
      </c>
      <c r="F1" s="3" t="s">
        <v>20</v>
      </c>
      <c r="G1" s="3" t="s">
        <v>69</v>
      </c>
      <c r="H1" s="3" t="s">
        <v>70</v>
      </c>
      <c r="I1" s="3" t="s">
        <v>2</v>
      </c>
    </row>
    <row r="2" spans="1:9" ht="15.75" thickBot="1" x14ac:dyDescent="0.3">
      <c r="A2" s="10">
        <v>1</v>
      </c>
      <c r="B2" s="11">
        <v>16</v>
      </c>
      <c r="C2" s="11">
        <v>16</v>
      </c>
      <c r="D2" s="11">
        <v>5</v>
      </c>
      <c r="E2" s="11">
        <v>2</v>
      </c>
      <c r="F2" s="11">
        <v>600</v>
      </c>
      <c r="G2" s="11">
        <v>1500</v>
      </c>
      <c r="H2" s="11">
        <v>60</v>
      </c>
      <c r="I2" s="5" t="str">
        <f>$B$1&amp;"="&amp;B2&amp;"; "&amp;$C$1&amp;"="&amp;C2&amp;"; "&amp;$D$1&amp;"="&amp;D2&amp;"; "&amp;$E$1&amp;"="&amp;E2&amp;"; "&amp;$F$1&amp;"="&amp;F2&amp;"; "&amp;$G$1&amp;"="&amp;G2&amp;$H$1&amp;"="&amp;H2&amp;""</f>
        <v>num_epochs=16; batch_size=16; learning_rate=5; start_temp=2; phase_2_start=600; min_temp=1500tryout_limit=60</v>
      </c>
    </row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91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4.42578125" customWidth="1"/>
    <col min="2" max="2" width="15.28515625" customWidth="1"/>
    <col min="3" max="3" width="16" customWidth="1"/>
    <col min="4" max="4" width="3" customWidth="1"/>
    <col min="5" max="5" width="4" customWidth="1"/>
    <col min="6" max="6" width="13.42578125" customWidth="1"/>
    <col min="7" max="7" width="12.5703125" customWidth="1"/>
    <col min="8" max="8" width="23.28515625" customWidth="1"/>
    <col min="9" max="9" width="9.7109375" customWidth="1"/>
    <col min="10" max="10" width="23.42578125" customWidth="1"/>
    <col min="11" max="11" width="166" customWidth="1"/>
    <col min="12" max="26" width="8.7109375" customWidth="1"/>
  </cols>
  <sheetData>
    <row r="1" spans="1:11" x14ac:dyDescent="0.25">
      <c r="A1" s="9" t="s">
        <v>0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</v>
      </c>
    </row>
    <row r="2" spans="1:11" x14ac:dyDescent="0.25">
      <c r="A2" s="10">
        <v>1</v>
      </c>
      <c r="B2" s="11">
        <v>16</v>
      </c>
      <c r="C2" s="11">
        <v>16</v>
      </c>
      <c r="D2" s="11">
        <v>5</v>
      </c>
      <c r="E2" s="11">
        <v>2</v>
      </c>
      <c r="F2" s="11">
        <v>600</v>
      </c>
      <c r="G2" s="11">
        <v>1500</v>
      </c>
      <c r="H2" s="11">
        <v>60</v>
      </c>
      <c r="I2" s="11" t="s">
        <v>25</v>
      </c>
      <c r="J2" s="11" t="s">
        <v>26</v>
      </c>
      <c r="K2" s="5" t="str">
        <f>$B$1&amp;"="&amp;B2&amp;"; "&amp;$C$1&amp;"="&amp;C2&amp;"; "&amp;$D$1&amp;"="&amp;D2&amp;"; "&amp;$E$1&amp;"="&amp;E2&amp;"; "&amp;$F$1&amp;"="&amp;F2&amp;"; "&amp;$G$1&amp;"="&amp;G2&amp;$H$1&amp;"="&amp;H2&amp;"; "&amp;$I$1&amp;"="&amp;I2&amp;"; "&amp;$J$1&amp;"="&amp;J2</f>
        <v>data_batch_size=16; mask_batch_size=16; s=5; s_p=2; phase_2_start=600; max_batches=1500early_stopping_patience=60; activation=softmax; loss function=categorical_crossentropy</v>
      </c>
    </row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autoFilter ref="A1:K2" xr:uid="{00000000-0009-0000-0000-000009000000}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94"/>
  <sheetViews>
    <sheetView workbookViewId="0">
      <selection activeCell="E1" sqref="D1:E1"/>
    </sheetView>
  </sheetViews>
  <sheetFormatPr defaultColWidth="14.42578125" defaultRowHeight="15" customHeight="1" x14ac:dyDescent="0.25"/>
  <cols>
    <col min="1" max="1" width="4.42578125" customWidth="1"/>
    <col min="2" max="2" width="15.42578125" customWidth="1"/>
    <col min="3" max="3" width="16.28515625" customWidth="1"/>
    <col min="4" max="4" width="13.7109375" customWidth="1"/>
    <col min="5" max="5" width="15.140625" customWidth="1"/>
    <col min="6" max="6" width="84.7109375" customWidth="1"/>
    <col min="7" max="26" width="8.7109375" customWidth="1"/>
  </cols>
  <sheetData>
    <row r="1" spans="1:6" x14ac:dyDescent="0.25">
      <c r="A1" s="9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2</v>
      </c>
    </row>
    <row r="2" spans="1:6" x14ac:dyDescent="0.25">
      <c r="A2" s="10">
        <v>1</v>
      </c>
      <c r="B2" s="12">
        <v>200</v>
      </c>
      <c r="C2" s="12">
        <v>16</v>
      </c>
      <c r="D2" s="12">
        <v>7.8125E-3</v>
      </c>
      <c r="E2" s="13">
        <v>1E-3</v>
      </c>
      <c r="F2" s="5" t="str">
        <f>$B$1&amp;"="&amp;B2&amp;"; "&amp;$C$1&amp;"="&amp;C2&amp;"; "&amp;$D$1&amp;"="&amp;D2&amp;"; "&amp;$E$1&amp;"="&amp;E2</f>
        <v>epochs_number=200; batch_size_value=16; loss_weight_1=0.0078125; p_learning_rate=0.001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86"/>
  <sheetViews>
    <sheetView workbookViewId="0">
      <selection activeCell="A3" sqref="A3:XFD3"/>
    </sheetView>
  </sheetViews>
  <sheetFormatPr defaultColWidth="14.42578125" defaultRowHeight="15" customHeight="1" x14ac:dyDescent="0.25"/>
  <cols>
    <col min="1" max="1" width="4.42578125" customWidth="1"/>
    <col min="2" max="2" width="4" customWidth="1"/>
    <col min="3" max="4" width="7.7109375" customWidth="1"/>
    <col min="5" max="5" width="46.85546875" customWidth="1"/>
    <col min="6" max="25" width="8.7109375" customWidth="1"/>
  </cols>
  <sheetData>
    <row r="1" spans="1:6" ht="15.75" thickBot="1" x14ac:dyDescent="0.3">
      <c r="A1" s="9" t="s">
        <v>0</v>
      </c>
      <c r="B1" s="3" t="s">
        <v>31</v>
      </c>
      <c r="C1" s="3" t="s">
        <v>32</v>
      </c>
      <c r="D1" s="3" t="s">
        <v>47</v>
      </c>
      <c r="E1" s="3" t="s">
        <v>46</v>
      </c>
      <c r="F1" s="3" t="s">
        <v>2</v>
      </c>
    </row>
    <row r="2" spans="1:6" ht="15.75" thickBot="1" x14ac:dyDescent="0.3">
      <c r="A2" s="10">
        <v>1</v>
      </c>
      <c r="B2" s="12">
        <v>1</v>
      </c>
      <c r="C2" s="12" t="s">
        <v>33</v>
      </c>
      <c r="D2" s="12" t="s">
        <v>48</v>
      </c>
      <c r="E2" s="12" t="b">
        <v>0</v>
      </c>
      <c r="F2" s="5" t="str">
        <f>$B$1&amp;"="&amp;B2&amp;"; "&amp;$C$1&amp;"="&amp;C2&amp;"; "&amp;$D$1&amp;"="&amp;D2&amp;"; "&amp;$E$1&amp;"="&amp;E2</f>
        <v>C=1; penalty=l2; loss=hinge; dual=FALSE</v>
      </c>
    </row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99"/>
  <sheetViews>
    <sheetView workbookViewId="0">
      <selection activeCell="S41" sqref="S41"/>
    </sheetView>
  </sheetViews>
  <sheetFormatPr defaultColWidth="14.42578125" defaultRowHeight="15" customHeight="1" x14ac:dyDescent="0.25"/>
  <cols>
    <col min="1" max="1" width="4.42578125" customWidth="1"/>
    <col min="2" max="2" width="12.5703125" customWidth="1"/>
    <col min="3" max="3" width="19" customWidth="1"/>
    <col min="4" max="26" width="8.7109375" customWidth="1"/>
  </cols>
  <sheetData>
    <row r="1" spans="1:3" x14ac:dyDescent="0.25">
      <c r="A1" s="9" t="s">
        <v>0</v>
      </c>
      <c r="B1" s="14" t="s">
        <v>34</v>
      </c>
      <c r="C1" s="3" t="s">
        <v>2</v>
      </c>
    </row>
    <row r="2" spans="1:3" x14ac:dyDescent="0.25">
      <c r="A2" s="10">
        <v>1</v>
      </c>
      <c r="B2" s="15" t="s">
        <v>35</v>
      </c>
      <c r="C2" s="5" t="str">
        <f>$B$1&amp;"="&amp;B2</f>
        <v>score_func=chi2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2"/>
  <sheetViews>
    <sheetView workbookViewId="0">
      <selection activeCell="H28" sqref="H28"/>
    </sheetView>
  </sheetViews>
  <sheetFormatPr defaultColWidth="14.42578125" defaultRowHeight="15" customHeight="1" x14ac:dyDescent="0.25"/>
  <sheetData>
    <row r="1" spans="1:4" x14ac:dyDescent="0.25">
      <c r="A1" s="1" t="s">
        <v>0</v>
      </c>
      <c r="B1" s="7" t="s">
        <v>38</v>
      </c>
      <c r="C1" s="3" t="s">
        <v>39</v>
      </c>
      <c r="D1" s="3" t="s">
        <v>2</v>
      </c>
    </row>
    <row r="2" spans="1:4" x14ac:dyDescent="0.25">
      <c r="A2" s="4">
        <v>1</v>
      </c>
      <c r="B2" s="7">
        <v>10</v>
      </c>
      <c r="C2" s="8">
        <v>0.01</v>
      </c>
      <c r="D2" s="6" t="str">
        <f>$B$1&amp;"="&amp;B2&amp;","&amp;$C$1&amp;"="&amp;C2</f>
        <v>w0=10,dw=0.01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95"/>
  <sheetViews>
    <sheetView workbookViewId="0">
      <selection activeCell="G11" sqref="G11"/>
    </sheetView>
  </sheetViews>
  <sheetFormatPr defaultColWidth="14.42578125" defaultRowHeight="15" customHeight="1" x14ac:dyDescent="0.25"/>
  <cols>
    <col min="1" max="1" width="5.85546875" customWidth="1"/>
    <col min="2" max="2" width="15.42578125" customWidth="1"/>
    <col min="3" max="3" width="11.42578125" bestFit="1" customWidth="1"/>
    <col min="4" max="6" width="12.85546875" customWidth="1"/>
    <col min="7" max="7" width="47.85546875" customWidth="1"/>
    <col min="8" max="28" width="8.7109375" customWidth="1"/>
  </cols>
  <sheetData>
    <row r="1" spans="1:7" ht="15.75" thickBot="1" x14ac:dyDescent="0.3">
      <c r="A1" s="9" t="s">
        <v>0</v>
      </c>
      <c r="B1" s="3" t="s">
        <v>71</v>
      </c>
      <c r="C1" s="3" t="s">
        <v>72</v>
      </c>
      <c r="D1" s="3" t="s">
        <v>75</v>
      </c>
      <c r="E1" s="3" t="s">
        <v>77</v>
      </c>
      <c r="F1" s="3" t="s">
        <v>79</v>
      </c>
      <c r="G1" s="3" t="s">
        <v>2</v>
      </c>
    </row>
    <row r="2" spans="1:7" ht="15.75" thickBot="1" x14ac:dyDescent="0.3">
      <c r="A2" s="10">
        <v>1</v>
      </c>
      <c r="B2" s="25" t="s">
        <v>73</v>
      </c>
      <c r="C2" s="26" t="s">
        <v>74</v>
      </c>
      <c r="D2" s="17" t="s">
        <v>76</v>
      </c>
      <c r="E2" s="27" t="s">
        <v>78</v>
      </c>
      <c r="F2" s="27">
        <v>-1</v>
      </c>
      <c r="G2" s="18" t="str">
        <f>$B$1&amp;"="&amp;B2&amp;"; "&amp;$C$1&amp;"="&amp;C2&amp;"; "&amp;$D$1&amp;"="&amp;D2&amp;""</f>
        <v>relevance=f; redundancy=c; denominator=mean</v>
      </c>
    </row>
    <row r="11" spans="1:7" x14ac:dyDescent="0.25">
      <c r="G11" s="19"/>
    </row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84"/>
  <sheetViews>
    <sheetView workbookViewId="0">
      <selection activeCell="J1" sqref="B1:J1"/>
    </sheetView>
  </sheetViews>
  <sheetFormatPr defaultColWidth="14.42578125" defaultRowHeight="15" customHeight="1" x14ac:dyDescent="0.25"/>
  <cols>
    <col min="1" max="1" width="4.42578125" customWidth="1"/>
    <col min="2" max="2" width="7.28515625" customWidth="1"/>
    <col min="3" max="4" width="12.28515625" customWidth="1"/>
    <col min="5" max="5" width="14.28515625" bestFit="1" customWidth="1"/>
    <col min="6" max="6" width="13.42578125" customWidth="1"/>
    <col min="7" max="10" width="12.28515625" customWidth="1"/>
    <col min="11" max="11" width="113.5703125" bestFit="1" customWidth="1"/>
    <col min="12" max="32" width="8.7109375" customWidth="1"/>
  </cols>
  <sheetData>
    <row r="1" spans="1:11" ht="15.75" thickBot="1" x14ac:dyDescent="0.3">
      <c r="A1" s="15" t="s">
        <v>0</v>
      </c>
      <c r="B1" s="3" t="s">
        <v>61</v>
      </c>
      <c r="C1" s="3" t="s">
        <v>14</v>
      </c>
      <c r="D1" s="3" t="s">
        <v>40</v>
      </c>
      <c r="E1" s="3" t="s">
        <v>44</v>
      </c>
      <c r="F1" s="3" t="s">
        <v>36</v>
      </c>
      <c r="G1" s="3" t="s">
        <v>41</v>
      </c>
      <c r="H1" s="3" t="s">
        <v>37</v>
      </c>
      <c r="I1" s="3" t="s">
        <v>42</v>
      </c>
      <c r="J1" s="3" t="s">
        <v>43</v>
      </c>
      <c r="K1" s="3" t="s">
        <v>2</v>
      </c>
    </row>
    <row r="2" spans="1:11" ht="15.75" thickBot="1" x14ac:dyDescent="0.3">
      <c r="A2" s="20">
        <v>1</v>
      </c>
      <c r="B2" s="21">
        <v>5</v>
      </c>
      <c r="C2" s="21">
        <v>1E-3</v>
      </c>
      <c r="D2" s="21">
        <v>2</v>
      </c>
      <c r="E2" s="21">
        <v>10</v>
      </c>
      <c r="F2" s="21">
        <v>0.5</v>
      </c>
      <c r="G2" s="21">
        <v>16</v>
      </c>
      <c r="H2" s="21">
        <v>0.95</v>
      </c>
      <c r="I2" s="21">
        <v>0.1</v>
      </c>
      <c r="J2" s="21">
        <v>0</v>
      </c>
      <c r="K2" s="5" t="str">
        <f>$B$1&amp;"="&amp;B2&amp;"; "&amp;$C$1&amp;"="&amp;C2&amp;"; "&amp;$D$1&amp;"="&amp;D2&amp;"" &amp;$E$1&amp;"="&amp;E2&amp;"" &amp;$F$1&amp;"="&amp;F2&amp;"" &amp;$G$1&amp;"="&amp;G2&amp;"" &amp;$H$1&amp;"="&amp;H2&amp;"" &amp;$I$1&amp;"="&amp;I2&amp;""  &amp;$H$1&amp;"="&amp;H2&amp;"" &amp;$J$1&amp;"="&amp;J2&amp;""</f>
        <v>epochs=5; learning_rate=0.001; q=2n_dropouts=10dropout_prob=0.5batch_size=16alpha=0.95sigma=0.1alpha=0.95f_correct=0</v>
      </c>
    </row>
    <row r="5" spans="1:11" ht="15.75" customHeight="1" x14ac:dyDescent="0.25"/>
    <row r="6" spans="1:11" ht="15.75" customHeight="1" x14ac:dyDescent="0.25"/>
    <row r="7" spans="1:11" ht="15.75" customHeight="1" x14ac:dyDescent="0.25"/>
    <row r="8" spans="1:11" ht="15.75" customHeight="1" x14ac:dyDescent="0.25"/>
    <row r="9" spans="1:11" ht="15.75" customHeight="1" x14ac:dyDescent="0.25"/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autoFilter ref="A1:K2" xr:uid="{00000000-0009-0000-0000-00000E000000}"/>
  <pageMargins left="0.7" right="0.7" top="0.75" bottom="0.75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Data>
    <row r="1">
      <c r="A1" t="inlineStr">
        <is>
          <t>WIF</t>
        </is>
      </c>
      <c r="B1" t="inlineStr">
        <is>
          <t>n_bootstrap</t>
        </is>
      </c>
      <c r="C1" t="inlineStr">
        <is>
          <t>selection_threshold</t>
        </is>
      </c>
      <c r="D1" t="inlineStr">
        <is>
          <t>C</t>
        </is>
      </c>
      <c r="E1" t="inlineStr">
        <is>
          <t>comment</t>
        </is>
      </c>
    </row>
    <row r="2">
      <c r="A2">
        <v>1</v>
      </c>
      <c r="B2">
        <v>50</v>
      </c>
      <c r="C2">
        <v>0.5</v>
      </c>
      <c r="D2">
        <v>0.1</v>
      </c>
      <c r="E2" t="inlineStr">
        <is>
          <t>n_bootstrap=50; C=0.1; selection_threshold is not applied: the selector returns the top-K features by selection frequency</t>
        </is>
      </c>
    </row>
  </sheetData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Skewness</vt:lpstr>
      <vt:lpstr>CFS</vt:lpstr>
      <vt:lpstr>MCFS</vt:lpstr>
      <vt:lpstr>RFS</vt:lpstr>
      <vt:lpstr>ReliefF</vt:lpstr>
      <vt:lpstr>GRAPH</vt:lpstr>
      <vt:lpstr>low_variance</vt:lpstr>
      <vt:lpstr>LS</vt:lpstr>
      <vt:lpstr>SVM_RBF</vt:lpstr>
      <vt:lpstr>CEI_GA</vt:lpstr>
      <vt:lpstr>SVM_Forward</vt:lpstr>
      <vt:lpstr>SHAP</vt:lpstr>
      <vt:lpstr>SVM_Backward</vt:lpstr>
      <vt:lpstr>DecisionTree_Backward</vt:lpstr>
      <vt:lpstr>DecisionTree_Forward</vt:lpstr>
      <vt:lpstr>AdaBoost</vt:lpstr>
      <vt:lpstr>ETree</vt:lpstr>
      <vt:lpstr>CT</vt:lpstr>
      <vt:lpstr>CAE</vt:lpstr>
      <vt:lpstr>DLFS</vt:lpstr>
      <vt:lpstr>UFS</vt:lpstr>
      <vt:lpstr>SVC</vt:lpstr>
      <vt:lpstr>Univariate</vt:lpstr>
      <vt:lpstr>alpha_investing</vt:lpstr>
      <vt:lpstr>mRMR</vt:lpstr>
      <vt:lpstr>GRACES</vt:lpstr>
      <vt:lpstr>LASSO_Stability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Elmakias, Itamar</dc:creator>
  <cp:lastModifiedBy>סברינה אלמקיאס</cp:lastModifiedBy>
  <dcterms:created xsi:type="dcterms:W3CDTF">2023-04-24T06:00:53Z</dcterms:created>
  <dcterms:modified xsi:type="dcterms:W3CDTF">2025-07-21T08:17:48Z</dcterms:modified>
</cp:coreProperties>
</file>